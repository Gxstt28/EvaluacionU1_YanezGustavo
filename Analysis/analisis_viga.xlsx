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f21ce698add45c/Desktop/HC2/Analysis/"/>
    </mc:Choice>
  </mc:AlternateContent>
  <xr:revisionPtr revIDLastSave="0" documentId="8_{433EA0DE-FE86-4436-9A09-44F745E45EC4}" xr6:coauthVersionLast="47" xr6:coauthVersionMax="47" xr10:uidLastSave="{00000000-0000-0000-0000-000000000000}"/>
  <bookViews>
    <workbookView xWindow="-120" yWindow="-120" windowWidth="20730" windowHeight="11040" xr2:uid="{FE6E5E85-7DC7-4D1A-975C-9E82205D0F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3" i="1" l="1"/>
  <c r="D21" i="1"/>
  <c r="E21" i="1" s="1"/>
  <c r="D22" i="1"/>
  <c r="E22" i="1" s="1"/>
  <c r="D23" i="1"/>
  <c r="D24" i="1"/>
  <c r="D25" i="1"/>
  <c r="D26" i="1"/>
  <c r="D27" i="1"/>
  <c r="D20" i="1"/>
  <c r="E20" i="1" s="1"/>
  <c r="G20" i="1" s="1"/>
  <c r="B11" i="1"/>
  <c r="K21" i="1"/>
  <c r="K22" i="1"/>
  <c r="K20" i="1"/>
  <c r="A24" i="1" l="1"/>
  <c r="K23" i="1"/>
  <c r="E23" i="1"/>
  <c r="I21" i="1"/>
  <c r="G21" i="1"/>
  <c r="I22" i="1"/>
  <c r="G22" i="1"/>
  <c r="I20" i="1"/>
  <c r="I23" i="1" l="1"/>
  <c r="G23" i="1"/>
  <c r="E24" i="1"/>
  <c r="K24" i="1"/>
  <c r="A25" i="1"/>
  <c r="G24" i="1" l="1"/>
  <c r="I24" i="1"/>
  <c r="E25" i="1"/>
  <c r="K25" i="1"/>
  <c r="A26" i="1"/>
  <c r="I25" i="1" l="1"/>
  <c r="G25" i="1"/>
  <c r="K26" i="1"/>
  <c r="A27" i="1"/>
  <c r="E26" i="1"/>
  <c r="E27" i="1" l="1"/>
  <c r="K27" i="1"/>
  <c r="I26" i="1"/>
  <c r="G26" i="1"/>
  <c r="I27" i="1" l="1"/>
  <c r="G27" i="1"/>
</calcChain>
</file>

<file path=xl/sharedStrings.xml><?xml version="1.0" encoding="utf-8"?>
<sst xmlns="http://schemas.openxmlformats.org/spreadsheetml/2006/main" count="41" uniqueCount="35">
  <si>
    <t>Parámetro</t>
  </si>
  <si>
    <t>Valor</t>
  </si>
  <si>
    <t>Unidad</t>
  </si>
  <si>
    <t>Descripción</t>
  </si>
  <si>
    <t>L</t>
  </si>
  <si>
    <t>m</t>
  </si>
  <si>
    <t>Luz entre apoyos</t>
  </si>
  <si>
    <t>b</t>
  </si>
  <si>
    <t>Ancho de la sección rectangular</t>
  </si>
  <si>
    <t>h</t>
  </si>
  <si>
    <t>Altura de la sección rectangular</t>
  </si>
  <si>
    <t>E</t>
  </si>
  <si>
    <t>GPa</t>
  </si>
  <si>
    <t>Módulo de elasticidad para el ejercicio</t>
  </si>
  <si>
    <t>Configuración</t>
  </si>
  <si>
    <t>Carga puntual centrada</t>
  </si>
  <si>
    <t>-</t>
  </si>
  <si>
    <t>Viga simplemente apoyada</t>
  </si>
  <si>
    <t>Segundo momento de área de la sección rectangular</t>
  </si>
  <si>
    <t>Datos proporcionados</t>
  </si>
  <si>
    <t>Formula</t>
  </si>
  <si>
    <t>m^2</t>
  </si>
  <si>
    <t>Deflexion teorica de Euler-Bernoulli en el medio de la luz</t>
  </si>
  <si>
    <t>P = Carga</t>
  </si>
  <si>
    <t>L = largo de la luz</t>
  </si>
  <si>
    <t xml:space="preserve">E = modulo de elsticidad </t>
  </si>
  <si>
    <t>I = momento de inercia</t>
  </si>
  <si>
    <t>Parametros</t>
  </si>
  <si>
    <t>P (Kn)</t>
  </si>
  <si>
    <t>L (m)</t>
  </si>
  <si>
    <t>I (m^4)</t>
  </si>
  <si>
    <t>E (Kn/m^2)</t>
  </si>
  <si>
    <t>diferencia relativa (%)</t>
  </si>
  <si>
    <t>Verificacion teorica</t>
  </si>
  <si>
    <t>verificacion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</si>
</sst>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"/>
    <numFmt numFmtId="166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8000"/>
      <name val="Calibri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theme="9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A499"/>
      </patternFill>
    </fill>
    <fill>
      <patternFill patternType="solid">
        <fgColor rgb="FF39404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4" xfId="0" applyFont="1" applyFill="1" applyBorder="1"/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Curva</a:t>
            </a:r>
            <a:r>
              <a:rPr lang="es-CL" baseline="0"/>
              <a:t> carga vs Deflexión: Teórico vs. Real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Teórico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Hoja1!$A$20:$A$27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xVal>
          <c:yVal>
            <c:numRef>
              <c:f>Hoja1!$E$20:$E$27</c:f>
              <c:numCache>
                <c:formatCode>0.00</c:formatCode>
                <c:ptCount val="8"/>
                <c:pt idx="0">
                  <c:v>0.24999999999999994</c:v>
                </c:pt>
                <c:pt idx="1">
                  <c:v>0.49999999999999989</c:v>
                </c:pt>
                <c:pt idx="2">
                  <c:v>0.74999999999999989</c:v>
                </c:pt>
                <c:pt idx="3">
                  <c:v>0.99999999999999978</c:v>
                </c:pt>
                <c:pt idx="4">
                  <c:v>1.2499999999999998</c:v>
                </c:pt>
                <c:pt idx="5">
                  <c:v>1.4999999999999998</c:v>
                </c:pt>
                <c:pt idx="6">
                  <c:v>1.7499999999999996</c:v>
                </c:pt>
                <c:pt idx="7">
                  <c:v>1.9999999999999996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55-4D7A-929D-B0E4494458B5}"/>
            </c:ext>
          </c:extLst>
        </c:ser>
        <c:ser>
          <c:idx val="1"/>
          <c:order val="1"/>
          <c:tx>
            <c:v>Real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Hoja1!$A$20:$A$27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xVal>
          <c:yVal>
            <c:numRef>
              <c:f>Hoja1!$F$20:$F$27</c:f>
              <c:numCache>
                <c:formatCode>0.00</c:formatCode>
                <c:ptCount val="8"/>
                <c:pt idx="0">
                  <c:v>0.26</c:v>
                </c:pt>
                <c:pt idx="1">
                  <c:v>0.5</c:v>
                </c:pt>
                <c:pt idx="2">
                  <c:v>0.76</c:v>
                </c:pt>
                <c:pt idx="3">
                  <c:v>1.01</c:v>
                </c:pt>
                <c:pt idx="4">
                  <c:v>1.28</c:v>
                </c:pt>
                <c:pt idx="5">
                  <c:v>1.54</c:v>
                </c:pt>
                <c:pt idx="6">
                  <c:v>1.77</c:v>
                </c:pt>
                <c:pt idx="7">
                  <c:v>2.0499999999999998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55-4D7A-929D-B0E449445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37343"/>
        <c:axId val="80665391"/>
      </c:scatterChart>
      <c:valAx>
        <c:axId val="129137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baseline="0"/>
                  <a:t>Carga (Kn)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0665391"/>
        <c:crosses val="autoZero"/>
        <c:crossBetween val="midCat"/>
      </c:valAx>
      <c:valAx>
        <c:axId val="8066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Defelxión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9137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314981</xdr:colOff>
      <xdr:row>10</xdr:row>
      <xdr:rowOff>5912</xdr:rowOff>
    </xdr:from>
    <xdr:to>
      <xdr:col>0</xdr:col>
      <xdr:colOff>819806</xdr:colOff>
      <xdr:row>12</xdr:row>
      <xdr:rowOff>15437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597DDE-8B1B-C618-7DE7-9E19B42C1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81" y="2349062"/>
          <a:ext cx="50482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123825</xdr:colOff>
      <xdr:row>14</xdr:row>
      <xdr:rowOff>142875</xdr:rowOff>
    </xdr:from>
    <xdr:to>
      <xdr:col>1</xdr:col>
      <xdr:colOff>904875</xdr:colOff>
      <xdr:row>16</xdr:row>
      <xdr:rowOff>152400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3A9CF0-DD74-4C31-F791-62E20E6FE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95650"/>
          <a:ext cx="78105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66675</xdr:colOff>
      <xdr:row>18</xdr:row>
      <xdr:rowOff>0</xdr:rowOff>
    </xdr:from>
    <xdr:to>
      <xdr:col>4</xdr:col>
      <xdr:colOff>742950</xdr:colOff>
      <xdr:row>19</xdr:row>
      <xdr:rowOff>19050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13BC56C5-D19B-ADA8-6EF3-99C74A921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5" y="3914775"/>
          <a:ext cx="6762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28575</xdr:colOff>
      <xdr:row>18</xdr:row>
      <xdr:rowOff>2198</xdr:rowOff>
    </xdr:from>
    <xdr:to>
      <xdr:col>5</xdr:col>
      <xdr:colOff>752475</xdr:colOff>
      <xdr:row>19</xdr:row>
      <xdr:rowOff>21248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07B2C0C0-1270-4DA5-B481-ACBC1E070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0729" y="3922102"/>
          <a:ext cx="7239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165287</xdr:colOff>
      <xdr:row>28</xdr:row>
      <xdr:rowOff>1121</xdr:rowOff>
    </xdr:from>
    <xdr:to>
      <xdr:col>5</xdr:col>
      <xdr:colOff>549089</xdr:colOff>
      <xdr:row>41</xdr:row>
      <xdr:rowOff>194983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91C6A31-826B-5D69-CB82-C712015DA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2FD1-3335-4E00-9260-F949842EC258}">
  <dimension ref="A1:L27"/>
  <sheetViews>
    <sheetView tabSelected="1" topLeftCell="A25" zoomScale="112" zoomScaleNormal="70" workbookViewId="0">
      <selection activeCell="H39" sqref="H39"/>
    </sheetView>
  </sheetViews>
  <sheetFormatPr baseColWidth="10" defaultRowHeight="15" x14ac:dyDescent="0.25"/>
  <cols>
    <col min="1" max="3" width="18.7109375" customWidth="1"/>
    <col min="4" max="4" width="32.7109375" customWidth="1"/>
  </cols>
  <sheetData>
    <row r="1" spans="1:7" ht="18.75" x14ac:dyDescent="0.3">
      <c r="A1" s="17" t="s">
        <v>19</v>
      </c>
      <c r="B1" s="18"/>
      <c r="C1" s="18"/>
      <c r="D1" s="18"/>
      <c r="E1" s="7"/>
      <c r="F1" s="6"/>
      <c r="G1" s="6"/>
    </row>
    <row r="3" spans="1:7" x14ac:dyDescent="0.25">
      <c r="A3" s="8" t="s">
        <v>0</v>
      </c>
      <c r="B3" s="1" t="s">
        <v>1</v>
      </c>
      <c r="C3" s="1" t="s">
        <v>2</v>
      </c>
      <c r="D3" s="1" t="s">
        <v>3</v>
      </c>
    </row>
    <row r="4" spans="1:7" x14ac:dyDescent="0.25">
      <c r="A4" s="4" t="s">
        <v>4</v>
      </c>
      <c r="B4" s="3">
        <v>4</v>
      </c>
      <c r="C4" s="2" t="s">
        <v>5</v>
      </c>
      <c r="D4" s="4" t="s">
        <v>6</v>
      </c>
    </row>
    <row r="5" spans="1:7" x14ac:dyDescent="0.25">
      <c r="A5" s="4" t="s">
        <v>7</v>
      </c>
      <c r="B5" s="3">
        <v>0.2</v>
      </c>
      <c r="C5" s="2" t="s">
        <v>5</v>
      </c>
      <c r="D5" s="4" t="s">
        <v>8</v>
      </c>
    </row>
    <row r="6" spans="1:7" x14ac:dyDescent="0.25">
      <c r="A6" s="4" t="s">
        <v>9</v>
      </c>
      <c r="B6" s="3">
        <v>0.4</v>
      </c>
      <c r="C6" s="2" t="s">
        <v>5</v>
      </c>
      <c r="D6" s="4" t="s">
        <v>10</v>
      </c>
    </row>
    <row r="7" spans="1:7" ht="30" x14ac:dyDescent="0.25">
      <c r="A7" s="4" t="s">
        <v>11</v>
      </c>
      <c r="B7" s="3">
        <v>25</v>
      </c>
      <c r="C7" s="2" t="s">
        <v>12</v>
      </c>
      <c r="D7" s="4" t="s">
        <v>13</v>
      </c>
    </row>
    <row r="8" spans="1:7" ht="30" x14ac:dyDescent="0.25">
      <c r="A8" s="4" t="s">
        <v>14</v>
      </c>
      <c r="B8" s="5" t="s">
        <v>15</v>
      </c>
      <c r="C8" s="2" t="s">
        <v>16</v>
      </c>
      <c r="D8" s="4" t="s">
        <v>17</v>
      </c>
    </row>
    <row r="9" spans="1:7" ht="15.75" customHeight="1" x14ac:dyDescent="0.25">
      <c r="A9" s="13" t="s">
        <v>18</v>
      </c>
      <c r="B9" s="14"/>
      <c r="C9" s="14"/>
      <c r="D9" s="15"/>
    </row>
    <row r="10" spans="1:7" x14ac:dyDescent="0.25">
      <c r="A10" s="8" t="s">
        <v>20</v>
      </c>
      <c r="B10" s="1" t="s">
        <v>1</v>
      </c>
      <c r="C10" s="1" t="s">
        <v>2</v>
      </c>
      <c r="D10" s="1" t="s">
        <v>3</v>
      </c>
    </row>
    <row r="11" spans="1:7" x14ac:dyDescent="0.25">
      <c r="A11" s="12"/>
      <c r="B11" s="19" t="b">
        <f>D20=(B5 *B6^3)/12</f>
        <v>1</v>
      </c>
      <c r="C11" s="20" t="s">
        <v>21</v>
      </c>
      <c r="D11" s="12"/>
    </row>
    <row r="12" spans="1:7" x14ac:dyDescent="0.25">
      <c r="A12" s="12"/>
      <c r="B12" s="19"/>
      <c r="C12" s="20"/>
      <c r="D12" s="12"/>
    </row>
    <row r="13" spans="1:7" ht="18.75" x14ac:dyDescent="0.25">
      <c r="A13" s="13" t="s">
        <v>22</v>
      </c>
      <c r="B13" s="14"/>
      <c r="C13" s="14"/>
      <c r="D13" s="15"/>
    </row>
    <row r="14" spans="1:7" x14ac:dyDescent="0.25">
      <c r="A14" s="16" t="s">
        <v>20</v>
      </c>
      <c r="B14" s="16"/>
      <c r="C14" s="16"/>
      <c r="D14" s="9" t="s">
        <v>27</v>
      </c>
    </row>
    <row r="15" spans="1:7" x14ac:dyDescent="0.25">
      <c r="A15" s="12"/>
      <c r="B15" s="12"/>
      <c r="C15" s="12"/>
      <c r="D15" t="s">
        <v>23</v>
      </c>
    </row>
    <row r="16" spans="1:7" x14ac:dyDescent="0.25">
      <c r="A16" s="12"/>
      <c r="B16" s="12"/>
      <c r="C16" s="12"/>
      <c r="D16" t="s">
        <v>24</v>
      </c>
    </row>
    <row r="17" spans="1:12" x14ac:dyDescent="0.25">
      <c r="A17" s="12"/>
      <c r="B17" s="12"/>
      <c r="C17" s="12"/>
      <c r="D17" t="s">
        <v>25</v>
      </c>
    </row>
    <row r="18" spans="1:12" x14ac:dyDescent="0.25">
      <c r="A18" s="12"/>
      <c r="B18" s="12"/>
      <c r="C18" s="12"/>
      <c r="D18" t="s">
        <v>26</v>
      </c>
    </row>
    <row r="19" spans="1:12" x14ac:dyDescent="0.25">
      <c r="A19" s="8" t="s">
        <v>28</v>
      </c>
      <c r="B19" s="8" t="s">
        <v>29</v>
      </c>
      <c r="C19" s="8" t="s">
        <v>31</v>
      </c>
      <c r="D19" s="8" t="s">
        <v>30</v>
      </c>
      <c r="G19" s="22" t="s">
        <v>32</v>
      </c>
      <c r="H19" s="22"/>
      <c r="I19" s="12" t="s">
        <v>33</v>
      </c>
      <c r="J19" s="12"/>
      <c r="K19" s="12" t="s">
        <v>34</v>
      </c>
      <c r="L19" s="12"/>
    </row>
    <row r="20" spans="1:12" x14ac:dyDescent="0.25">
      <c r="A20">
        <v>5</v>
      </c>
      <c r="B20">
        <v>4</v>
      </c>
      <c r="C20">
        <v>25000000</v>
      </c>
      <c r="D20" s="10">
        <f>($B$5 *$B$6^3)/12</f>
        <v>1.0666666666666669E-3</v>
      </c>
      <c r="E20" s="11">
        <f>(A20*B20^3)/(48*C20*D20)*1000</f>
        <v>0.24999999999999994</v>
      </c>
      <c r="F20" s="11">
        <v>0.26</v>
      </c>
      <c r="G20" s="21">
        <f>ABS(F20-E20)/E20*100</f>
        <v>4.0000000000000266</v>
      </c>
      <c r="H20" s="21"/>
      <c r="I20" s="12">
        <f>E20/A20</f>
        <v>4.9999999999999989E-2</v>
      </c>
      <c r="J20" s="12"/>
      <c r="K20" s="12">
        <f>F20/A20</f>
        <v>5.2000000000000005E-2</v>
      </c>
      <c r="L20" s="12"/>
    </row>
    <row r="21" spans="1:12" x14ac:dyDescent="0.25">
      <c r="A21">
        <v>10</v>
      </c>
      <c r="B21">
        <v>4</v>
      </c>
      <c r="C21">
        <v>25000000</v>
      </c>
      <c r="D21" s="10">
        <f t="shared" ref="D21:D27" si="0">($B$5 *$B$6^3)/12</f>
        <v>1.0666666666666669E-3</v>
      </c>
      <c r="E21" s="11">
        <f t="shared" ref="E21:E27" si="1">(A21*B21^3)/(48*C21*D21)*1000</f>
        <v>0.49999999999999989</v>
      </c>
      <c r="F21" s="11">
        <v>0.5</v>
      </c>
      <c r="G21" s="21">
        <f t="shared" ref="G21:G27" si="2">ABS(F21-E21)/E21*100</f>
        <v>2.2204460492503137E-14</v>
      </c>
      <c r="H21" s="21"/>
      <c r="I21" s="12">
        <f t="shared" ref="I21:I27" si="3">E21/A21</f>
        <v>4.9999999999999989E-2</v>
      </c>
      <c r="J21" s="12"/>
      <c r="K21" s="12">
        <f t="shared" ref="K21:K27" si="4">F21/A21</f>
        <v>0.05</v>
      </c>
      <c r="L21" s="12"/>
    </row>
    <row r="22" spans="1:12" x14ac:dyDescent="0.25">
      <c r="A22">
        <v>15</v>
      </c>
      <c r="B22">
        <v>4</v>
      </c>
      <c r="C22">
        <v>25000000</v>
      </c>
      <c r="D22" s="10">
        <f t="shared" si="0"/>
        <v>1.0666666666666669E-3</v>
      </c>
      <c r="E22" s="11">
        <f t="shared" si="1"/>
        <v>0.74999999999999989</v>
      </c>
      <c r="F22" s="11">
        <v>0.76</v>
      </c>
      <c r="G22" s="21">
        <f t="shared" si="2"/>
        <v>1.3333333333333495</v>
      </c>
      <c r="H22" s="21"/>
      <c r="I22" s="12">
        <f t="shared" si="3"/>
        <v>4.9999999999999996E-2</v>
      </c>
      <c r="J22" s="12"/>
      <c r="K22" s="12">
        <f t="shared" si="4"/>
        <v>5.0666666666666665E-2</v>
      </c>
      <c r="L22" s="12"/>
    </row>
    <row r="23" spans="1:12" x14ac:dyDescent="0.25">
      <c r="A23">
        <f>A22+5</f>
        <v>20</v>
      </c>
      <c r="B23">
        <v>4</v>
      </c>
      <c r="C23">
        <v>25000000</v>
      </c>
      <c r="D23" s="10">
        <f t="shared" si="0"/>
        <v>1.0666666666666669E-3</v>
      </c>
      <c r="E23" s="11">
        <f t="shared" si="1"/>
        <v>0.99999999999999978</v>
      </c>
      <c r="F23" s="11">
        <v>1.01</v>
      </c>
      <c r="G23" s="21">
        <f t="shared" si="2"/>
        <v>1.0000000000000233</v>
      </c>
      <c r="H23" s="21"/>
      <c r="I23" s="12">
        <f t="shared" si="3"/>
        <v>4.9999999999999989E-2</v>
      </c>
      <c r="J23" s="12"/>
      <c r="K23" s="12">
        <f t="shared" si="4"/>
        <v>5.0500000000000003E-2</v>
      </c>
      <c r="L23" s="12"/>
    </row>
    <row r="24" spans="1:12" x14ac:dyDescent="0.25">
      <c r="A24">
        <f t="shared" ref="A24:A26" si="5">A23+5</f>
        <v>25</v>
      </c>
      <c r="B24">
        <v>4</v>
      </c>
      <c r="C24">
        <v>25000000</v>
      </c>
      <c r="D24" s="10">
        <f t="shared" si="0"/>
        <v>1.0666666666666669E-3</v>
      </c>
      <c r="E24" s="11">
        <f t="shared" si="1"/>
        <v>1.2499999999999998</v>
      </c>
      <c r="F24" s="11">
        <v>1.28</v>
      </c>
      <c r="G24" s="21">
        <f t="shared" si="2"/>
        <v>2.4000000000000203</v>
      </c>
      <c r="H24" s="21"/>
      <c r="I24" s="12">
        <f t="shared" si="3"/>
        <v>4.9999999999999989E-2</v>
      </c>
      <c r="J24" s="12"/>
      <c r="K24" s="12">
        <f t="shared" si="4"/>
        <v>5.1200000000000002E-2</v>
      </c>
      <c r="L24" s="12"/>
    </row>
    <row r="25" spans="1:12" x14ac:dyDescent="0.25">
      <c r="A25">
        <f t="shared" si="5"/>
        <v>30</v>
      </c>
      <c r="B25">
        <v>4</v>
      </c>
      <c r="C25">
        <v>25000000</v>
      </c>
      <c r="D25" s="10">
        <f t="shared" si="0"/>
        <v>1.0666666666666669E-3</v>
      </c>
      <c r="E25" s="11">
        <f t="shared" si="1"/>
        <v>1.4999999999999998</v>
      </c>
      <c r="F25" s="11">
        <v>1.54</v>
      </c>
      <c r="G25" s="21">
        <f t="shared" si="2"/>
        <v>2.6666666666666843</v>
      </c>
      <c r="H25" s="21"/>
      <c r="I25" s="12">
        <f t="shared" si="3"/>
        <v>4.9999999999999996E-2</v>
      </c>
      <c r="J25" s="12"/>
      <c r="K25" s="12">
        <f t="shared" si="4"/>
        <v>5.1333333333333335E-2</v>
      </c>
      <c r="L25" s="12"/>
    </row>
    <row r="26" spans="1:12" x14ac:dyDescent="0.25">
      <c r="A26">
        <f t="shared" si="5"/>
        <v>35</v>
      </c>
      <c r="B26">
        <v>4</v>
      </c>
      <c r="C26">
        <v>25000000</v>
      </c>
      <c r="D26" s="10">
        <f t="shared" si="0"/>
        <v>1.0666666666666669E-3</v>
      </c>
      <c r="E26" s="11">
        <f t="shared" si="1"/>
        <v>1.7499999999999996</v>
      </c>
      <c r="F26" s="11">
        <v>1.77</v>
      </c>
      <c r="G26" s="21">
        <f t="shared" si="2"/>
        <v>1.1428571428571697</v>
      </c>
      <c r="H26" s="21"/>
      <c r="I26" s="12">
        <f t="shared" si="3"/>
        <v>4.9999999999999989E-2</v>
      </c>
      <c r="J26" s="12"/>
      <c r="K26" s="12">
        <f t="shared" si="4"/>
        <v>5.0571428571428573E-2</v>
      </c>
      <c r="L26" s="12"/>
    </row>
    <row r="27" spans="1:12" x14ac:dyDescent="0.25">
      <c r="A27">
        <f>A26+5</f>
        <v>40</v>
      </c>
      <c r="B27">
        <v>4</v>
      </c>
      <c r="C27">
        <v>25000000</v>
      </c>
      <c r="D27" s="10">
        <f t="shared" si="0"/>
        <v>1.0666666666666669E-3</v>
      </c>
      <c r="E27" s="11">
        <f t="shared" si="1"/>
        <v>1.9999999999999996</v>
      </c>
      <c r="F27" s="11">
        <v>2.0499999999999998</v>
      </c>
      <c r="G27" s="21">
        <f t="shared" si="2"/>
        <v>2.5000000000000142</v>
      </c>
      <c r="H27" s="21"/>
      <c r="I27" s="12">
        <f t="shared" si="3"/>
        <v>4.9999999999999989E-2</v>
      </c>
      <c r="J27" s="12"/>
      <c r="K27" s="12">
        <f t="shared" si="4"/>
        <v>5.1249999999999997E-2</v>
      </c>
      <c r="L27" s="12"/>
    </row>
  </sheetData>
  <mergeCells count="36">
    <mergeCell ref="G27:H27"/>
    <mergeCell ref="G19:H19"/>
    <mergeCell ref="G20:H20"/>
    <mergeCell ref="G21:H21"/>
    <mergeCell ref="G22:H22"/>
    <mergeCell ref="G23:H23"/>
    <mergeCell ref="G24:H24"/>
    <mergeCell ref="G25:H25"/>
    <mergeCell ref="G26:H26"/>
    <mergeCell ref="A13:D13"/>
    <mergeCell ref="A14:C14"/>
    <mergeCell ref="A15:C18"/>
    <mergeCell ref="A1:D1"/>
    <mergeCell ref="A9:D9"/>
    <mergeCell ref="A11:A12"/>
    <mergeCell ref="B11:B12"/>
    <mergeCell ref="C11:C12"/>
    <mergeCell ref="D11:D12"/>
    <mergeCell ref="I19:J19"/>
    <mergeCell ref="K19:L19"/>
    <mergeCell ref="I20:J20"/>
    <mergeCell ref="I21:J21"/>
    <mergeCell ref="I22:J22"/>
    <mergeCell ref="K20:L20"/>
    <mergeCell ref="K21:L21"/>
    <mergeCell ref="K22:L22"/>
    <mergeCell ref="I23:J23"/>
    <mergeCell ref="I24:J24"/>
    <mergeCell ref="I25:J25"/>
    <mergeCell ref="I26:J26"/>
    <mergeCell ref="I27:J27"/>
    <mergeCell ref="K23:L23"/>
    <mergeCell ref="K24:L24"/>
    <mergeCell ref="K25:L25"/>
    <mergeCell ref="K26:L26"/>
    <mergeCell ref="K27:L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yañez</dc:creator>
  <cp:lastModifiedBy>gustavo yañez</cp:lastModifiedBy>
  <dcterms:created xsi:type="dcterms:W3CDTF">2026-10-04T21:57:44Z</dcterms:created>
  <dcterms:modified xsi:type="dcterms:W3CDTF">2026-10-06T02:15:54Z</dcterms:modified>
</cp:coreProperties>
</file>